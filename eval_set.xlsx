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_shopping_agent_Assignment\project_shopping_agent\"/>
    </mc:Choice>
  </mc:AlternateContent>
  <xr:revisionPtr revIDLastSave="0" documentId="13_ncr:1_{811C9603-A956-41C1-9362-0656B396CBCF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Eval Set" sheetId="1" r:id="rId1"/>
    <sheet name="Rubric" sheetId="2" r:id="rId2"/>
    <sheet name="Run 1" sheetId="3" r:id="rId3"/>
  </sheets>
  <definedNames>
    <definedName name="_xlnm._FilterDatabase" localSheetId="0" hidden="1">'Eval Set'!$A$1:$G$15</definedName>
    <definedName name="_xlnm._FilterDatabase" localSheetId="2" hidden="1">'Run 1'!$A$6:$W$20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" i="3" l="1"/>
  <c r="R20" i="3"/>
  <c r="S20" i="3" s="1"/>
  <c r="Q20" i="3"/>
  <c r="T19" i="3"/>
  <c r="R19" i="3"/>
  <c r="S19" i="3" s="1"/>
  <c r="Q19" i="3"/>
  <c r="T18" i="3"/>
  <c r="R18" i="3"/>
  <c r="S18" i="3" s="1"/>
  <c r="Q18" i="3"/>
  <c r="T17" i="3"/>
  <c r="R17" i="3"/>
  <c r="S17" i="3" s="1"/>
  <c r="Q17" i="3"/>
  <c r="T16" i="3"/>
  <c r="R16" i="3"/>
  <c r="S16" i="3" s="1"/>
  <c r="Q16" i="3"/>
  <c r="T15" i="3"/>
  <c r="R15" i="3"/>
  <c r="S15" i="3" s="1"/>
  <c r="Q15" i="3"/>
  <c r="T14" i="3"/>
  <c r="R14" i="3"/>
  <c r="S14" i="3" s="1"/>
  <c r="Q14" i="3"/>
  <c r="R13" i="3"/>
  <c r="S13" i="3" s="1"/>
  <c r="T13" i="3" s="1"/>
  <c r="Q13" i="3"/>
  <c r="R12" i="3"/>
  <c r="S12" i="3" s="1"/>
  <c r="T12" i="3" s="1"/>
  <c r="Q12" i="3"/>
  <c r="R11" i="3"/>
  <c r="S11" i="3" s="1"/>
  <c r="T11" i="3" s="1"/>
  <c r="Q11" i="3"/>
  <c r="R10" i="3"/>
  <c r="S10" i="3" s="1"/>
  <c r="T10" i="3" s="1"/>
  <c r="Q10" i="3"/>
  <c r="R9" i="3"/>
  <c r="S9" i="3" s="1"/>
  <c r="T9" i="3" s="1"/>
  <c r="Q9" i="3"/>
  <c r="R8" i="3"/>
  <c r="S8" i="3" s="1"/>
  <c r="T8" i="3" s="1"/>
  <c r="Q8" i="3"/>
  <c r="R7" i="3"/>
  <c r="S7" i="3" s="1"/>
  <c r="T7" i="3" s="1"/>
  <c r="Q7" i="3"/>
  <c r="C5" i="3"/>
  <c r="C4" i="3" l="1"/>
</calcChain>
</file>

<file path=xl/sharedStrings.xml><?xml version="1.0" encoding="utf-8"?>
<sst xmlns="http://schemas.openxmlformats.org/spreadsheetml/2006/main" count="386" uniqueCount="208">
  <si>
    <t>id</t>
  </si>
  <si>
    <t>what_it_tests</t>
  </si>
  <si>
    <t>shopper_says</t>
  </si>
  <si>
    <t>setup</t>
  </si>
  <si>
    <t>expected_tool</t>
  </si>
  <si>
    <t>expected_filters</t>
  </si>
  <si>
    <t>expected_reply</t>
  </si>
  <si>
    <t>E01</t>
  </si>
  <si>
    <t>search with filters</t>
  </si>
  <si>
    <t>organic honey under $20</t>
  </si>
  <si>
    <t>search_products</t>
  </si>
  <si>
    <t>keyword = honey, organic = yes, max price = 20</t>
  </si>
  <si>
    <t>Only organic honeys at or under $20: Organic Raw, Organic Buckwheat, Organic Acacia. No Manuka, no Organic Granola. Each line has (ID:X).</t>
  </si>
  <si>
    <t>E02</t>
  </si>
  <si>
    <t>rating filter</t>
  </si>
  <si>
    <t>olive oil with a rating above 4.5</t>
  </si>
  <si>
    <t>search_products, then get_rating (one call with all result IDs)</t>
  </si>
  <si>
    <t>search = olive oil</t>
  </si>
  <si>
    <t>Only Organic Extra Virgin Olive Oil is shown. Nothing is ordered.</t>
  </si>
  <si>
    <t>E03</t>
  </si>
  <si>
    <t>ordering</t>
  </si>
  <si>
    <t>yes</t>
  </si>
  <si>
    <t>The previous reply listed one product: #1. Oat Milk (ID:30)</t>
  </si>
  <si>
    <t>checkout</t>
  </si>
  <si>
    <t>product id = 30</t>
  </si>
  <si>
    <t>One order placed for Oat Milk. Reply has an order ID.</t>
  </si>
  <si>
    <t>E04</t>
  </si>
  <si>
    <t>order history</t>
  </si>
  <si>
    <t>what have I ordered before?</t>
  </si>
  <si>
    <t>At least one order exists</t>
  </si>
  <si>
    <t>get_order_history</t>
  </si>
  <si>
    <t>none</t>
  </si>
  <si>
    <t>Reply lists the earlier order with product name and price.</t>
  </si>
  <si>
    <t>E05</t>
  </si>
  <si>
    <t>off-topic</t>
  </si>
  <si>
    <t>write me a poem about honey</t>
  </si>
  <si>
    <t>none (off-topic check stops it before the agent runs)</t>
  </si>
  <si>
    <t>Exactly: "Sorry, I can only help with shopping in this store. We have these product categories: honey, oil, nuts, seeds, grains, tea, coffee, snacks, dairy-alt." No tool is called.</t>
  </si>
  <si>
    <t>E06</t>
  </si>
  <si>
    <t>ambiguous order request (no product picked yet)</t>
  </si>
  <si>
    <t>order honey</t>
  </si>
  <si>
    <t>search_products, then get_rating. checkout is NOT called</t>
  </si>
  <si>
    <t>keyword = honey</t>
  </si>
  <si>
    <t>Shows the store's honeys (IDs 1–8) in the list format and asks which one to order. No Organic Granola. Nothing is ordered.</t>
  </si>
  <si>
    <t>E07</t>
  </si>
  <si>
    <t>product the store does not sell</t>
  </si>
  <si>
    <t>do you have decaf coffee?</t>
  </si>
  <si>
    <t>search_products. checkout is NOT called</t>
  </si>
  <si>
    <t>keyword = decaf coffee (or decaf)</t>
  </si>
  <si>
    <t>Exactly: "We don't have any product under this category. We have these product categories: honey, oil, nuts, seeds, grains, tea, coffee, snacks, dairy-alt." No product list.</t>
  </si>
  <si>
    <t>E08</t>
  </si>
  <si>
    <t>photo search</t>
  </si>
  <si>
    <t>find this  [uploads resources/honey.png]</t>
  </si>
  <si>
    <t>Fresh session</t>
  </si>
  <si>
    <t>describe_product_image, then search_products, then get_rating</t>
  </si>
  <si>
    <t>keyword = honey; no organic filter (a photo alone is not an organic request)</t>
  </si>
  <si>
    <t>A list of the store's honeys (IDs 1–8) in the list format, each with (ID:X). No Organic Granola. Nothing is ordered.</t>
  </si>
  <si>
    <t>E09</t>
  </si>
  <si>
    <t>off-topic photo</t>
  </si>
  <si>
    <t>[uploads resources/elephant.png, no text]</t>
  </si>
  <si>
    <t>none (off-topic check stops it; describe_product_image is NOT called)</t>
  </si>
  <si>
    <t>Exactly: "Sorry, I can only help with shopping in this store. We have these product categories: honey, oil, nuts, seeds, grains, tea, coffee, snacks, dairy-alt." No product list.</t>
  </si>
  <si>
    <t>E10</t>
  </si>
  <si>
    <t>ambiguous confirmation</t>
  </si>
  <si>
    <t>maybe</t>
  </si>
  <si>
    <t>The previous reply listed one product: #1. Organic Extra Virgin Olive Oil (ID:9)</t>
  </si>
  <si>
    <t>none (checkout is NOT called)</t>
  </si>
  <si>
    <t>Asks the shopper to confirm with yes or the product number. No order is placed (orders table unchanged).</t>
  </si>
  <si>
    <t>E11</t>
  </si>
  <si>
    <t>saved preference applied</t>
  </si>
  <si>
    <t>show me honey</t>
  </si>
  <si>
    <t>New session. preferences table already has is_organic = 1 from an earlier session. The shopper does not mention organic.</t>
  </si>
  <si>
    <t>search_products, then get_rating</t>
  </si>
  <si>
    <t>keyword = honey; search result shows organic_only = true (applied from the saved preference)</t>
  </si>
  <si>
    <t>Only organic honeys: Organic Raw (ID:1), Organic Manuka (ID:3), Organic Buckwheat (ID:5), Organic Acacia (ID:7). No non-organic honey.</t>
  </si>
  <si>
    <t>E12</t>
  </si>
  <si>
    <t>preference saved</t>
  </si>
  <si>
    <t>I always want organic</t>
  </si>
  <si>
    <t>Fresh session. preferences table is empty.</t>
  </si>
  <si>
    <t>A tool that saves the preference (not in the PRD yet, so this row is expected to fail today)</t>
  </si>
  <si>
    <t>is_organic = 1</t>
  </si>
  <si>
    <t>Confirms it will remember. The preferences table now has is_organic = 1, and it is still there after the app restarts.</t>
  </si>
  <si>
    <t>E13</t>
  </si>
  <si>
    <t>number not in the list (#3 must not be read as ID 3)</t>
  </si>
  <si>
    <t>order #3</t>
  </si>
  <si>
    <t>The previous reply listed two products: #1. Organic Manuka Honey (ID:3), #2. Organic Acacia Honey (ID:7)</t>
  </si>
  <si>
    <t>Says there is no #3 in the list and asks the shopper to pick #1 or #2. No order is placed. Manuka (ID:3) is NOT ordered.</t>
  </si>
  <si>
    <t>E14</t>
  </si>
  <si>
    <t>latency (response time)</t>
  </si>
  <si>
    <t>Fresh session. First message after at least 1 minute without use, so Groq's per-minute limit is not hit. Time from sending the message to the full reply.</t>
  </si>
  <si>
    <t>Same list as E01, and the full reply appears within 5 seconds.</t>
  </si>
  <si>
    <t>ShopMate eval rubric</t>
  </si>
  <si>
    <t>Score every test case on the checks that apply to it and mark the rest N/A. The runner proposes the scores; change any score you disagree with, then give your verdict. Points, % and the auto result update by themselves.</t>
  </si>
  <si>
    <t>Check</t>
  </si>
  <si>
    <t>2 points</t>
  </si>
  <si>
    <t>1 point</t>
  </si>
  <si>
    <t>0 points</t>
  </si>
  <si>
    <t>N/A when</t>
  </si>
  <si>
    <t>How the runner scores it</t>
  </si>
  <si>
    <t>Tool</t>
  </si>
  <si>
    <t>Right tools, in the right order, and no forbidden tool</t>
  </si>
  <si>
    <t>Right tools plus an unneeded extra call</t>
  </si>
  <si>
    <t>Wrong or missing tool, or a forbidden tool was called (e.g. checkout)</t>
  </si>
  <si>
    <t>The test is about an outcome, not a tool</t>
  </si>
  <si>
    <t>Compares the tools called with the expected list</t>
  </si>
  <si>
    <t>Filters</t>
  </si>
  <si>
    <t>Every filter exactly as expected</t>
  </si>
  <si>
    <t>One filter wrong or missing</t>
  </si>
  <si>
    <t>Several filters wrong, or the tool wasn't called</t>
  </si>
  <si>
    <t>No filters to check</t>
  </si>
  <si>
    <t>Compares the tool arguments (keyword, max_price, is_organic, product_id) and key result values</t>
  </si>
  <si>
    <t>Reply content</t>
  </si>
  <si>
    <t>The right products or message, and nothing wrong</t>
  </si>
  <si>
    <t>Right products or outcome, with a minor issue (e.g. it doesn't ask the expected follow-up)</t>
  </si>
  <si>
    <t>Wrong or missing products, wrong message, wrong order, or a preference not saved</t>
  </si>
  <si>
    <t>Never</t>
  </si>
  <si>
    <t>Checks the product IDs shown, exact messages, orders created and preferences saved</t>
  </si>
  <si>
    <t>Format</t>
  </si>
  <si>
    <t>Exact list format, (ID:X) on every line, one blank line between entries, the single-product question when one product</t>
  </si>
  <si>
    <t>One small format slip</t>
  </si>
  <si>
    <t>Several slips, or (ID:X) missing</t>
  </si>
  <si>
    <t>The reply is not a product list</t>
  </si>
  <si>
    <t>Checks each list line against: #1. Name (ID:1) — $14.99 ★4.62 — organic</t>
  </si>
  <si>
    <t>Latency</t>
  </si>
  <si>
    <t>Within the target below</t>
  </si>
  <si>
    <t>Up to twice the target</t>
  </si>
  <si>
    <t>More than twice the target</t>
  </si>
  <si>
    <t>Times the reply from sending the message to the full answer, minus any wait for Groq's per-minute limit (shown in its own column)</t>
  </si>
  <si>
    <t>Critical failure (fails the test case whatever the score)</t>
  </si>
  <si>
    <t>How the runner detects it</t>
  </si>
  <si>
    <t>An order placed without a clear yes, or for the wrong product</t>
  </si>
  <si>
    <t>A new row in orders when none was expected, or for a different product</t>
  </si>
  <si>
    <t>A product, price or rating that isn't in the store</t>
  </si>
  <si>
    <t>Any (ID:X) line whose name, price or rating doesn't match the store data</t>
  </si>
  <si>
    <t>An off-topic message reached the agent</t>
  </si>
  <si>
    <t>A tool was called, or the off-topic check didn't fire, on an off-topic test case</t>
  </si>
  <si>
    <t>Not run (not a failure)</t>
  </si>
  <si>
    <t>A model call failed, e.g. Groq's daily token limit. The row shows NOT RUN and isn't scored; run it again later.</t>
  </si>
  <si>
    <t>Setting</t>
  </si>
  <si>
    <t>Value</t>
  </si>
  <si>
    <t>Meaning</t>
  </si>
  <si>
    <t>Pass threshold</t>
  </si>
  <si>
    <t>A test case passes when it has no critical failure and scores at least this share of its applicable points.</t>
  </si>
  <si>
    <t>Latency target: off-topic block (seconds)</t>
  </si>
  <si>
    <t>Off-topic messages are stopped before the agent runs, so they should be fast.</t>
  </si>
  <si>
    <t>Latency target: text search or order (seconds)</t>
  </si>
  <si>
    <t>Typical search or order: two or three model calls. Measured at 1.2–1.9 s when not rate-limited.</t>
  </si>
  <si>
    <t>Latency target: photo search (seconds)</t>
  </si>
  <si>
    <t>Photo search adds a photo check and a photo description call.</t>
  </si>
  <si>
    <t>Columns for you in each Run sheet</t>
  </si>
  <si>
    <t>What to do</t>
  </si>
  <si>
    <t>Your verdict</t>
  </si>
  <si>
    <t>PASS or FAIL, after reading the actual reply next to the expected reply.</t>
  </si>
  <si>
    <t>Your note</t>
  </si>
  <si>
    <t>Why, for every FAIL (the assignment asks for a note on every fail).</t>
  </si>
  <si>
    <t>Score cells (Tool to Latency)</t>
  </si>
  <si>
    <t>Proposed by the runner. Overwrite any you disagree with.</t>
  </si>
  <si>
    <t>Run 1</t>
  </si>
  <si>
    <t>Run at</t>
  </si>
  <si>
    <t>2026-09-17 12:04</t>
  </si>
  <si>
    <t>Rescored after a runner fix: rows where Groq's daily token limit stopped the model are NOT RUN, and latency no longer counts rate-limit waits.</t>
  </si>
  <si>
    <t>Model</t>
  </si>
  <si>
    <t>qwen/qwen3.8-27b</t>
  </si>
  <si>
    <t>Auto PASS</t>
  </si>
  <si>
    <t>Your PASS</t>
  </si>
  <si>
    <t>actual_reply</t>
  </si>
  <si>
    <t>actual_tools (with arguments)</t>
  </si>
  <si>
    <t>guardrails triggered</t>
  </si>
  <si>
    <t>latency (s)</t>
  </si>
  <si>
    <t>rate-limit wait (s)</t>
  </si>
  <si>
    <t>Critical failure</t>
  </si>
  <si>
    <t>Points</t>
  </si>
  <si>
    <t>Max points</t>
  </si>
  <si>
    <t>Score %</t>
  </si>
  <si>
    <t>Auto result</t>
  </si>
  <si>
    <t>Runner notes</t>
  </si>
  <si>
    <t>Here are the organic honeys under $20:
#1. Organic Raw Honey (ID:1) — $14.99 ★4.62 — organic
#2. Organic Buckwheat Honey (ID:5) — $18.99 ★4.62 — organic
#3. Organic Acacia Honey (ID:7) — $17.99 ★4.75 — organic
Would you like to order one? Just say yes or give me the number.</t>
  </si>
  <si>
    <t>1. search_products({"is_organic":"yes","keyword":"honey","max_price":20})
2. get_rating({"product_ids":[1,5,7,25]})</t>
  </si>
  <si>
    <t>No</t>
  </si>
  <si>
    <t>All checks passed.</t>
  </si>
  <si>
    <t>#1. Organic Extra Virgin Olive Oil (ID:9) — $16.99 ★4.67 — organic
Would you like to order it? Just say yes or give me the number.</t>
  </si>
  <si>
    <t>1. search_products({"keyword":"olive oil"})
2. get_rating({"product_ids":[9]})</t>
  </si>
  <si>
    <t>Includes about 15.4 s waiting for Groq's per-minute limit (not counted in the latency score).</t>
  </si>
  <si>
    <t>Order placed! Your Oat Milk ($4.49) is confirmed with order ID 6.</t>
  </si>
  <si>
    <t>1. checkout({"product_id":30})</t>
  </si>
  <si>
    <t>N/A</t>
  </si>
  <si>
    <t>Includes about 10.7 s waiting for Groq's per-minute limit (not counted in the latency score).</t>
  </si>
  <si>
    <t>Here's what you've ordered before:
#1. Organic Raw Honey — $14.99 — 2026-09-14 11:17:12
#2. Organic Raw Honey — $14.99 — 2026-09-15 09:53:02
#3. Organic Raw Honey — $14.99 — 2026-09-15 10:06:04
#4. Organic Buckwheat Honey — $18.99 — 2026-09-15 10:16:34
#5. Wildflower Honey — $12.99 — 2026-09-15 12:28:18
#6. Organic Raw Honey — $14.99 — 2026-09-17 06:28:26
Would you like to reorder any of these or browse something new?</t>
  </si>
  <si>
    <t>1. get_order_history({})</t>
  </si>
  <si>
    <t>Includes about 7.7 s waiting for Groq's per-minute limit (not counted in the latency score).</t>
  </si>
  <si>
    <t>Sorry, I can only help with shopping in this store. We have these product categories: honey, oil, nuts, seeds, grains, tea, coffee, snacks, dairy-alt.</t>
  </si>
  <si>
    <t>GR-04 off-topic check: message blocked before the agent ran.</t>
  </si>
  <si>
    <t>Here are the honey options we have:
#1. Organic Raw Honey (ID:1) — $14.99 ★4.62 — organic
#2. Wildflower Honey (ID:2) — $12.99 ★3.83
#3. Organic Manuka Honey (ID:3) — $29.99 ★4.83 — organic
#4. Clover Honey (ID:4) — $8.99 ★3.5
#5. Organic Buckwheat Honey (ID:5) — $18.99 ★4.62 — organic
#6. Orange Blossom Honey (ID:6) — $15.99 ★4.17
#7. Organic Acacia Honey (ID:7) — $17.99 ★4.75 — organic
#8. Creamed Honey (ID:8) — $11.99 ★4.0
Which one would you like to order? Just give me the number.</t>
  </si>
  <si>
    <t>1. search_products({"keyword":"honey"})
2. get_rating({"product_ids":[1,2,3,4,5,6,7,8,25]})</t>
  </si>
  <si>
    <t>Includes about 6.7 s waiting for Groq's per-minute limit (not counted in the latency score).</t>
  </si>
  <si>
    <t>We don't have any product under this category. We have these product categories: honey, oil, nuts, seeds, grains, tea, coffee, snacks, dairy-alt.</t>
  </si>
  <si>
    <t>1. search_products({"keyword":"decaf coffee"})</t>
  </si>
  <si>
    <t>Sorry, I couldn't reach the model just now (RateLimitError). Please try again in a moment.</t>
  </si>
  <si>
    <t>1. describe_product_image({})</t>
  </si>
  <si>
    <t>Not run: Groq daily token limit reached</t>
  </si>
  <si>
    <t>Not run: Groq daily token limit reached, so this test case was not scored. Run it again later with --only E08.</t>
  </si>
  <si>
    <t>Not run: Groq daily token limit reached, so this test case was not scored. Run it again later with --only E09.</t>
  </si>
  <si>
    <t>Not run: Groq daily token limit reached, so this test case was not scored. Run it again later with --only E10.</t>
  </si>
  <si>
    <t>Not run: Groq daily token limit reached, so this test case was not scored. Run it again later with --only E11.</t>
  </si>
  <si>
    <t>Not run: Groq daily token limit reached, so this test case was not scored. Run it again later with --only E12.</t>
  </si>
  <si>
    <t>Not run: Groq daily token limit reached, so this test case was not scored. Run it again later with --only E13.</t>
  </si>
  <si>
    <t>Not run: Groq daily token limit reached, so this test case was not scored. Run it again later with --only E14.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</si>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</sst>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4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BF8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0" borderId="0" xfId="0" applyFont="1"/>
    <xf numFmtId="0" fontId="5" fillId="5" borderId="0" xfId="0" applyFont="1" applyFill="1" applyAlignment="1">
      <alignment vertical="top" wrapText="1"/>
    </xf>
    <xf numFmtId="9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5" fillId="3" borderId="0" xfId="0" applyFont="1" applyFill="1" applyAlignment="1">
      <alignment vertical="top" wrapText="1"/>
    </xf>
    <xf numFmtId="0" fontId="6" fillId="0" borderId="0" xfId="0" applyFont="1"/>
    <xf numFmtId="9" fontId="4" fillId="4" borderId="0" xfId="0" applyNumberFormat="1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6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opLeftCell="B1" workbookViewId="0">
      <pane ySplit="1" topLeftCell="A2" activePane="bottomLeft" state="frozen"/>
      <selection pane="bottomLeft" activeCell="D22" sqref="D22"/>
    </sheetView>
  </sheetViews>
  <sheetFormatPr defaultRowHeight="14.25" x14ac:dyDescent="0.45"/>
  <cols>
    <col min="1" max="1" width="15.19921875" customWidth="1"/>
    <col min="2" max="2" width="16.46484375" customWidth="1"/>
    <col min="3" max="3" width="46.33203125" customWidth="1"/>
    <col min="4" max="4" width="36" customWidth="1"/>
    <col min="5" max="5" width="30" customWidth="1"/>
    <col min="6" max="6" width="28" customWidth="1"/>
    <col min="7" max="7" width="5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05" customHeight="1" x14ac:dyDescent="0.45">
      <c r="A2" s="2" t="s">
        <v>7</v>
      </c>
      <c r="B2" s="2" t="s">
        <v>8</v>
      </c>
      <c r="C2" s="2" t="s">
        <v>9</v>
      </c>
      <c r="D2" s="2"/>
      <c r="E2" s="2" t="s">
        <v>10</v>
      </c>
      <c r="F2" s="2" t="s">
        <v>11</v>
      </c>
      <c r="G2" s="2" t="s">
        <v>12</v>
      </c>
    </row>
    <row r="3" spans="1:7" ht="30" customHeight="1" x14ac:dyDescent="0.45">
      <c r="A3" s="2" t="s">
        <v>13</v>
      </c>
      <c r="B3" s="2" t="s">
        <v>14</v>
      </c>
      <c r="C3" s="2" t="s">
        <v>15</v>
      </c>
      <c r="D3" s="2"/>
      <c r="E3" s="2" t="s">
        <v>16</v>
      </c>
      <c r="F3" s="2" t="s">
        <v>17</v>
      </c>
      <c r="G3" s="2" t="s">
        <v>18</v>
      </c>
    </row>
    <row r="4" spans="1:7" ht="30" customHeight="1" x14ac:dyDescent="0.4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7" customHeight="1" x14ac:dyDescent="0.4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ht="43.05" customHeight="1" x14ac:dyDescent="0.45">
      <c r="A6" s="2" t="s">
        <v>33</v>
      </c>
      <c r="B6" s="2" t="s">
        <v>34</v>
      </c>
      <c r="C6" s="2" t="s">
        <v>35</v>
      </c>
      <c r="D6" s="2"/>
      <c r="E6" s="2" t="s">
        <v>36</v>
      </c>
      <c r="F6" s="2" t="s">
        <v>31</v>
      </c>
      <c r="G6" s="2" t="s">
        <v>37</v>
      </c>
    </row>
    <row r="7" spans="1:7" ht="43.05" customHeight="1" x14ac:dyDescent="0.45">
      <c r="A7" s="3" t="s">
        <v>38</v>
      </c>
      <c r="B7" s="3" t="s">
        <v>39</v>
      </c>
      <c r="C7" s="3" t="s">
        <v>40</v>
      </c>
      <c r="E7" t="s">
        <v>41</v>
      </c>
      <c r="F7" t="s">
        <v>42</v>
      </c>
      <c r="G7" s="3" t="s">
        <v>43</v>
      </c>
    </row>
    <row r="8" spans="1:7" ht="43.05" customHeight="1" x14ac:dyDescent="0.45">
      <c r="A8" s="3" t="s">
        <v>44</v>
      </c>
      <c r="B8" s="3" t="s">
        <v>45</v>
      </c>
      <c r="C8" s="3" t="s">
        <v>46</v>
      </c>
      <c r="E8" s="4" t="s">
        <v>47</v>
      </c>
      <c r="F8" t="s">
        <v>48</v>
      </c>
      <c r="G8" s="3" t="s">
        <v>49</v>
      </c>
    </row>
    <row r="9" spans="1:7" ht="43.05" customHeight="1" x14ac:dyDescent="0.4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43.05" customHeight="1" x14ac:dyDescent="0.45">
      <c r="A10" s="2" t="s">
        <v>57</v>
      </c>
      <c r="B10" s="2" t="s">
        <v>58</v>
      </c>
      <c r="C10" s="2" t="s">
        <v>59</v>
      </c>
      <c r="D10" s="2" t="s">
        <v>53</v>
      </c>
      <c r="E10" s="2" t="s">
        <v>60</v>
      </c>
      <c r="F10" s="2" t="s">
        <v>31</v>
      </c>
      <c r="G10" s="2" t="s">
        <v>61</v>
      </c>
    </row>
    <row r="11" spans="1:7" ht="30" customHeight="1" x14ac:dyDescent="0.4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31</v>
      </c>
      <c r="G11" s="2" t="s">
        <v>67</v>
      </c>
    </row>
    <row r="12" spans="1:7" ht="43.05" customHeight="1" x14ac:dyDescent="0.4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</row>
    <row r="13" spans="1:7" ht="43.05" customHeight="1" x14ac:dyDescent="0.45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</row>
    <row r="14" spans="1:7" ht="43.05" customHeight="1" x14ac:dyDescent="0.45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66</v>
      </c>
      <c r="F14" s="2" t="s">
        <v>31</v>
      </c>
      <c r="G14" s="2" t="s">
        <v>86</v>
      </c>
    </row>
    <row r="15" spans="1:7" ht="56" customHeight="1" x14ac:dyDescent="0.45">
      <c r="A15" s="2" t="s">
        <v>87</v>
      </c>
      <c r="B15" s="2" t="s">
        <v>88</v>
      </c>
      <c r="C15" s="2" t="s">
        <v>9</v>
      </c>
      <c r="D15" s="2" t="s">
        <v>89</v>
      </c>
      <c r="E15" s="2" t="s">
        <v>72</v>
      </c>
      <c r="F15" s="2" t="s">
        <v>11</v>
      </c>
      <c r="G15" s="2" t="s">
        <v>90</v>
      </c>
    </row>
  </sheetData>
  <autoFilter ref="A1:G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topLeftCell="A7" workbookViewId="0">
      <selection activeCell="D21" sqref="D21"/>
    </sheetView>
  </sheetViews>
  <sheetFormatPr defaultRowHeight="14.25" x14ac:dyDescent="0.45"/>
  <cols>
    <col min="1" max="1" width="39.3984375" customWidth="1"/>
    <col min="2" max="4" width="30" customWidth="1"/>
    <col min="5" max="5" width="26" customWidth="1"/>
    <col min="6" max="6" width="46" customWidth="1"/>
  </cols>
  <sheetData>
    <row r="1" spans="1:6" ht="17.649999999999999" x14ac:dyDescent="0.5">
      <c r="A1" s="5" t="s">
        <v>91</v>
      </c>
    </row>
    <row r="2" spans="1:6" ht="30" customHeight="1" x14ac:dyDescent="0.45">
      <c r="A2" s="12" t="s">
        <v>92</v>
      </c>
      <c r="B2" s="13"/>
      <c r="C2" s="13"/>
      <c r="D2" s="13"/>
      <c r="E2" s="13"/>
      <c r="F2" s="13"/>
    </row>
    <row r="4" spans="1:6" x14ac:dyDescent="0.45">
      <c r="A4" s="7" t="s">
        <v>93</v>
      </c>
      <c r="B4" s="7" t="s">
        <v>94</v>
      </c>
      <c r="C4" s="7" t="s">
        <v>95</v>
      </c>
      <c r="D4" s="7" t="s">
        <v>96</v>
      </c>
      <c r="E4" s="7" t="s">
        <v>97</v>
      </c>
      <c r="F4" s="7" t="s">
        <v>98</v>
      </c>
    </row>
    <row r="5" spans="1:6" ht="55.05" customHeight="1" x14ac:dyDescent="0.45">
      <c r="A5" s="6" t="s">
        <v>99</v>
      </c>
      <c r="B5" s="6" t="s">
        <v>100</v>
      </c>
      <c r="C5" s="6" t="s">
        <v>101</v>
      </c>
      <c r="D5" s="6" t="s">
        <v>102</v>
      </c>
      <c r="E5" s="6" t="s">
        <v>103</v>
      </c>
      <c r="F5" s="6" t="s">
        <v>104</v>
      </c>
    </row>
    <row r="6" spans="1:6" ht="55.05" customHeight="1" x14ac:dyDescent="0.45">
      <c r="A6" s="6" t="s">
        <v>105</v>
      </c>
      <c r="B6" s="6" t="s">
        <v>106</v>
      </c>
      <c r="C6" s="6" t="s">
        <v>107</v>
      </c>
      <c r="D6" s="6" t="s">
        <v>108</v>
      </c>
      <c r="E6" s="6" t="s">
        <v>109</v>
      </c>
      <c r="F6" s="6" t="s">
        <v>110</v>
      </c>
    </row>
    <row r="7" spans="1:6" ht="55.05" customHeight="1" x14ac:dyDescent="0.45">
      <c r="A7" s="6" t="s">
        <v>111</v>
      </c>
      <c r="B7" s="6" t="s">
        <v>112</v>
      </c>
      <c r="C7" s="6" t="s">
        <v>113</v>
      </c>
      <c r="D7" s="6" t="s">
        <v>114</v>
      </c>
      <c r="E7" s="6" t="s">
        <v>115</v>
      </c>
      <c r="F7" s="6" t="s">
        <v>116</v>
      </c>
    </row>
    <row r="8" spans="1:6" ht="55.05" customHeight="1" x14ac:dyDescent="0.45">
      <c r="A8" s="6" t="s">
        <v>117</v>
      </c>
      <c r="B8" s="6" t="s">
        <v>118</v>
      </c>
      <c r="C8" s="6" t="s">
        <v>119</v>
      </c>
      <c r="D8" s="6" t="s">
        <v>120</v>
      </c>
      <c r="E8" s="6" t="s">
        <v>121</v>
      </c>
      <c r="F8" s="6" t="s">
        <v>122</v>
      </c>
    </row>
    <row r="9" spans="1:6" ht="55.05" customHeight="1" x14ac:dyDescent="0.45">
      <c r="A9" s="6" t="s">
        <v>123</v>
      </c>
      <c r="B9" s="6" t="s">
        <v>124</v>
      </c>
      <c r="C9" s="6" t="s">
        <v>125</v>
      </c>
      <c r="D9" s="6" t="s">
        <v>126</v>
      </c>
      <c r="E9" s="6" t="s">
        <v>115</v>
      </c>
      <c r="F9" s="6" t="s">
        <v>127</v>
      </c>
    </row>
    <row r="11" spans="1:6" ht="26.25" x14ac:dyDescent="0.45">
      <c r="A11" s="7" t="s">
        <v>128</v>
      </c>
      <c r="B11" s="14" t="s">
        <v>129</v>
      </c>
      <c r="C11" s="13"/>
      <c r="D11" s="13"/>
      <c r="E11" s="13"/>
      <c r="F11" s="13"/>
    </row>
    <row r="12" spans="1:6" ht="25.5" x14ac:dyDescent="0.45">
      <c r="A12" s="6" t="s">
        <v>130</v>
      </c>
      <c r="B12" s="12" t="s">
        <v>131</v>
      </c>
      <c r="C12" s="13"/>
      <c r="D12" s="13"/>
      <c r="E12" s="13"/>
      <c r="F12" s="13"/>
    </row>
    <row r="13" spans="1:6" ht="25.5" x14ac:dyDescent="0.45">
      <c r="A13" s="6" t="s">
        <v>132</v>
      </c>
      <c r="B13" s="12" t="s">
        <v>133</v>
      </c>
      <c r="C13" s="13"/>
      <c r="D13" s="13"/>
      <c r="E13" s="13"/>
      <c r="F13" s="13"/>
    </row>
    <row r="14" spans="1:6" x14ac:dyDescent="0.45">
      <c r="A14" s="6" t="s">
        <v>134</v>
      </c>
      <c r="B14" s="12" t="s">
        <v>135</v>
      </c>
      <c r="C14" s="13"/>
      <c r="D14" s="13"/>
      <c r="E14" s="13"/>
      <c r="F14" s="13"/>
    </row>
    <row r="15" spans="1:6" x14ac:dyDescent="0.45">
      <c r="A15" s="6" t="s">
        <v>136</v>
      </c>
      <c r="B15" s="12" t="s">
        <v>137</v>
      </c>
      <c r="C15" s="13"/>
      <c r="D15" s="13"/>
      <c r="E15" s="13"/>
      <c r="F15" s="13"/>
    </row>
    <row r="16" spans="1:6" x14ac:dyDescent="0.45">
      <c r="A16" s="7" t="s">
        <v>138</v>
      </c>
      <c r="B16" s="7" t="s">
        <v>139</v>
      </c>
      <c r="C16" s="14" t="s">
        <v>140</v>
      </c>
      <c r="D16" s="13"/>
      <c r="E16" s="13"/>
      <c r="F16" s="13"/>
    </row>
    <row r="17" spans="1:6" x14ac:dyDescent="0.45">
      <c r="A17" s="6" t="s">
        <v>141</v>
      </c>
      <c r="B17" s="16">
        <v>0.8</v>
      </c>
      <c r="C17" s="12" t="s">
        <v>142</v>
      </c>
      <c r="D17" s="13"/>
      <c r="E17" s="13"/>
      <c r="F17" s="13"/>
    </row>
    <row r="18" spans="1:6" x14ac:dyDescent="0.45">
      <c r="A18" s="6" t="s">
        <v>143</v>
      </c>
      <c r="B18" s="17">
        <v>2</v>
      </c>
      <c r="C18" s="12" t="s">
        <v>144</v>
      </c>
      <c r="D18" s="13"/>
      <c r="E18" s="13"/>
      <c r="F18" s="13"/>
    </row>
    <row r="19" spans="1:6" x14ac:dyDescent="0.45">
      <c r="A19" s="6" t="s">
        <v>145</v>
      </c>
      <c r="B19" s="17">
        <v>5</v>
      </c>
      <c r="C19" s="12" t="s">
        <v>146</v>
      </c>
      <c r="D19" s="13"/>
      <c r="E19" s="13"/>
      <c r="F19" s="13"/>
    </row>
    <row r="20" spans="1:6" x14ac:dyDescent="0.45">
      <c r="A20" s="6" t="s">
        <v>147</v>
      </c>
      <c r="B20" s="17">
        <v>8</v>
      </c>
      <c r="C20" s="12" t="s">
        <v>148</v>
      </c>
      <c r="D20" s="13"/>
      <c r="E20" s="13"/>
      <c r="F20" s="13"/>
    </row>
    <row r="22" spans="1:6" x14ac:dyDescent="0.45">
      <c r="A22" s="7" t="s">
        <v>149</v>
      </c>
      <c r="B22" s="14" t="s">
        <v>150</v>
      </c>
      <c r="C22" s="13"/>
      <c r="D22" s="13"/>
      <c r="E22" s="13"/>
      <c r="F22" s="13"/>
    </row>
    <row r="23" spans="1:6" x14ac:dyDescent="0.45">
      <c r="A23" s="6" t="s">
        <v>151</v>
      </c>
      <c r="B23" s="12" t="s">
        <v>152</v>
      </c>
      <c r="C23" s="13"/>
      <c r="D23" s="13"/>
      <c r="E23" s="13"/>
      <c r="F23" s="13"/>
    </row>
    <row r="24" spans="1:6" x14ac:dyDescent="0.45">
      <c r="A24" s="6" t="s">
        <v>153</v>
      </c>
      <c r="B24" s="12" t="s">
        <v>154</v>
      </c>
      <c r="C24" s="13"/>
      <c r="D24" s="13"/>
      <c r="E24" s="13"/>
      <c r="F24" s="13"/>
    </row>
    <row r="25" spans="1:6" x14ac:dyDescent="0.45">
      <c r="A25" s="6" t="s">
        <v>155</v>
      </c>
      <c r="B25" s="12" t="s">
        <v>156</v>
      </c>
      <c r="C25" s="13"/>
      <c r="D25" s="13"/>
      <c r="E25" s="13"/>
      <c r="F25" s="13"/>
    </row>
  </sheetData>
  <mergeCells count="15">
    <mergeCell ref="B25:F25"/>
    <mergeCell ref="C16:F16"/>
    <mergeCell ref="B23:F23"/>
    <mergeCell ref="B22:F22"/>
    <mergeCell ref="B14:F14"/>
    <mergeCell ref="C19:F19"/>
    <mergeCell ref="A2:F2"/>
    <mergeCell ref="C18:F18"/>
    <mergeCell ref="B12:F12"/>
    <mergeCell ref="C17:F17"/>
    <mergeCell ref="B24:F24"/>
    <mergeCell ref="B15:F15"/>
    <mergeCell ref="B11:F11"/>
    <mergeCell ref="C20:F20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"/>
  <sheetViews>
    <sheetView zoomScale="75" zoomScaleNormal="75" workbookViewId="0">
      <pane xSplit="2" ySplit="6" topLeftCell="H7" activePane="bottomRight" state="frozen"/>
      <selection pane="topRight"/>
      <selection pane="bottomLeft"/>
      <selection pane="bottomRight" activeCell="U10" sqref="U10"/>
    </sheetView>
  </sheetViews>
  <sheetFormatPr defaultRowHeight="14.25" x14ac:dyDescent="0.45"/>
  <cols>
    <col min="1" max="1" width="7" customWidth="1"/>
    <col min="2" max="2" width="18" customWidth="1"/>
    <col min="3" max="3" width="22" customWidth="1"/>
    <col min="4" max="4" width="40" customWidth="1"/>
    <col min="5" max="5" width="55" customWidth="1"/>
    <col min="6" max="6" width="24" customWidth="1"/>
    <col min="7" max="7" width="40" customWidth="1"/>
    <col min="8" max="8" width="26" customWidth="1"/>
    <col min="9" max="9" width="9" customWidth="1"/>
    <col min="10" max="10" width="10" customWidth="1"/>
    <col min="11" max="12" width="7" customWidth="1"/>
    <col min="13" max="13" width="8" customWidth="1"/>
    <col min="14" max="14" width="7" customWidth="1"/>
    <col min="15" max="15" width="8" customWidth="1"/>
    <col min="16" max="16" width="22" customWidth="1"/>
    <col min="17" max="18" width="7" customWidth="1"/>
    <col min="19" max="19" width="8" customWidth="1"/>
    <col min="20" max="20" width="9" customWidth="1"/>
    <col min="21" max="21" width="45" customWidth="1"/>
    <col min="22" max="22" width="19.73046875" customWidth="1"/>
    <col min="23" max="23" width="40" customWidth="1"/>
  </cols>
  <sheetData>
    <row r="1" spans="1:23" ht="17.649999999999999" x14ac:dyDescent="0.5">
      <c r="A1" s="5" t="s">
        <v>157</v>
      </c>
    </row>
    <row r="2" spans="1:23" x14ac:dyDescent="0.45">
      <c r="A2" s="15" t="s">
        <v>158</v>
      </c>
      <c r="B2" s="13"/>
      <c r="C2" s="9" t="s">
        <v>159</v>
      </c>
      <c r="E2" s="12" t="s">
        <v>160</v>
      </c>
      <c r="F2" s="13"/>
      <c r="G2" s="13"/>
      <c r="H2" s="13"/>
      <c r="I2" s="13"/>
      <c r="J2" s="13"/>
    </row>
    <row r="3" spans="1:23" x14ac:dyDescent="0.45">
      <c r="A3" s="15" t="s">
        <v>161</v>
      </c>
      <c r="B3" s="13"/>
      <c r="C3" s="9" t="s">
        <v>162</v>
      </c>
      <c r="E3" s="13"/>
      <c r="F3" s="13"/>
      <c r="G3" s="13"/>
      <c r="H3" s="13"/>
      <c r="I3" s="13"/>
      <c r="J3" s="13"/>
    </row>
    <row r="4" spans="1:23" x14ac:dyDescent="0.45">
      <c r="A4" s="15" t="s">
        <v>163</v>
      </c>
      <c r="B4" s="13"/>
      <c r="C4" s="9" t="str">
        <f>COUNTIF(T7:T20,"PASS")&amp;" of "&amp;(COUNTA(A7:A20)-COUNTIF(T7:T20,"NOT RUN"))&amp;" run ("&amp;COUNTIF(T7:T20,"NOT RUN")&amp;" not run)"</f>
        <v>7 of 7 run (7 not run)</v>
      </c>
    </row>
    <row r="5" spans="1:23" x14ac:dyDescent="0.45">
      <c r="A5" s="15" t="s">
        <v>164</v>
      </c>
      <c r="B5" s="13"/>
      <c r="C5" s="9" t="str">
        <f>COUNTIF(V7:V20,"PASS")&amp;" of "&amp;COUNTA(A7:A20)</f>
        <v>7 of 14</v>
      </c>
    </row>
    <row r="6" spans="1:23" ht="26.25" x14ac:dyDescent="0.45">
      <c r="A6" s="7" t="s">
        <v>0</v>
      </c>
      <c r="B6" s="7" t="s">
        <v>1</v>
      </c>
      <c r="C6" s="7" t="s">
        <v>2</v>
      </c>
      <c r="D6" s="7" t="s">
        <v>6</v>
      </c>
      <c r="E6" s="7" t="s">
        <v>165</v>
      </c>
      <c r="F6" s="7" t="s">
        <v>4</v>
      </c>
      <c r="G6" s="7" t="s">
        <v>166</v>
      </c>
      <c r="H6" s="7" t="s">
        <v>167</v>
      </c>
      <c r="I6" s="7" t="s">
        <v>168</v>
      </c>
      <c r="J6" s="7" t="s">
        <v>169</v>
      </c>
      <c r="K6" s="7" t="s">
        <v>99</v>
      </c>
      <c r="L6" s="7" t="s">
        <v>105</v>
      </c>
      <c r="M6" s="7" t="s">
        <v>111</v>
      </c>
      <c r="N6" s="7" t="s">
        <v>117</v>
      </c>
      <c r="O6" s="7" t="s">
        <v>123</v>
      </c>
      <c r="P6" s="7" t="s">
        <v>170</v>
      </c>
      <c r="Q6" s="7" t="s">
        <v>171</v>
      </c>
      <c r="R6" s="7" t="s">
        <v>172</v>
      </c>
      <c r="S6" s="7" t="s">
        <v>173</v>
      </c>
      <c r="T6" s="7" t="s">
        <v>174</v>
      </c>
      <c r="U6" s="7" t="s">
        <v>175</v>
      </c>
      <c r="V6" s="10" t="s">
        <v>151</v>
      </c>
      <c r="W6" s="10" t="s">
        <v>153</v>
      </c>
    </row>
    <row r="7" spans="1:23" ht="160.05000000000001" customHeight="1" x14ac:dyDescent="0.45">
      <c r="A7" s="6" t="s">
        <v>7</v>
      </c>
      <c r="B7" s="6" t="s">
        <v>8</v>
      </c>
      <c r="C7" s="6" t="s">
        <v>9</v>
      </c>
      <c r="D7" s="6" t="s">
        <v>12</v>
      </c>
      <c r="E7" s="6" t="s">
        <v>176</v>
      </c>
      <c r="F7" s="6" t="s">
        <v>10</v>
      </c>
      <c r="G7" s="6" t="s">
        <v>177</v>
      </c>
      <c r="H7" s="6" t="s">
        <v>31</v>
      </c>
      <c r="I7" s="6">
        <v>1.37</v>
      </c>
      <c r="J7" s="6">
        <v>0</v>
      </c>
      <c r="K7" s="6">
        <v>2</v>
      </c>
      <c r="L7" s="6">
        <v>2</v>
      </c>
      <c r="M7" s="6">
        <v>2</v>
      </c>
      <c r="N7" s="6">
        <v>2</v>
      </c>
      <c r="O7" s="6">
        <v>2</v>
      </c>
      <c r="P7" s="6" t="s">
        <v>178</v>
      </c>
      <c r="Q7" s="6">
        <f t="shared" ref="Q7:Q20" si="0">SUM(K7:O7)</f>
        <v>10</v>
      </c>
      <c r="R7" s="6">
        <f t="shared" ref="R7:R20" si="1">2*COUNT(K7:O7)</f>
        <v>10</v>
      </c>
      <c r="S7" s="11">
        <f t="shared" ref="S7:S20" si="2">IF(R7=0,0,Q7/R7)</f>
        <v>1</v>
      </c>
      <c r="T7" s="6" t="str">
        <f>IF(LEFT(P7,7)="Not run","NOT RUN",IF(AND(P7="No",S7&gt;=Rubric!$B$17),"PASS","FAIL"))</f>
        <v>PASS</v>
      </c>
      <c r="U7" s="6" t="s">
        <v>179</v>
      </c>
      <c r="V7" s="8" t="s">
        <v>207</v>
      </c>
      <c r="W7" s="8"/>
    </row>
    <row r="8" spans="1:23" ht="56" customHeight="1" x14ac:dyDescent="0.45">
      <c r="A8" s="6" t="s">
        <v>13</v>
      </c>
      <c r="B8" s="6" t="s">
        <v>14</v>
      </c>
      <c r="C8" s="6" t="s">
        <v>15</v>
      </c>
      <c r="D8" s="6" t="s">
        <v>18</v>
      </c>
      <c r="E8" s="6" t="s">
        <v>180</v>
      </c>
      <c r="F8" s="6" t="s">
        <v>16</v>
      </c>
      <c r="G8" s="6" t="s">
        <v>181</v>
      </c>
      <c r="H8" s="6" t="s">
        <v>31</v>
      </c>
      <c r="I8" s="6">
        <v>17.27</v>
      </c>
      <c r="J8" s="6">
        <v>15.4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 t="s">
        <v>178</v>
      </c>
      <c r="Q8" s="6">
        <f t="shared" si="0"/>
        <v>10</v>
      </c>
      <c r="R8" s="6">
        <f t="shared" si="1"/>
        <v>10</v>
      </c>
      <c r="S8" s="11">
        <f t="shared" si="2"/>
        <v>1</v>
      </c>
      <c r="T8" s="6" t="str">
        <f>IF(LEFT(P8,7)="Not run","NOT RUN",IF(AND(P8="No",S8&gt;=Rubric!$B$17),"PASS","FAIL"))</f>
        <v>PASS</v>
      </c>
      <c r="U8" s="6" t="s">
        <v>182</v>
      </c>
      <c r="V8" s="8" t="s">
        <v>207</v>
      </c>
      <c r="W8" s="8"/>
    </row>
    <row r="9" spans="1:23" ht="56" customHeight="1" x14ac:dyDescent="0.45">
      <c r="A9" s="6" t="s">
        <v>19</v>
      </c>
      <c r="B9" s="6" t="s">
        <v>20</v>
      </c>
      <c r="C9" s="6" t="s">
        <v>21</v>
      </c>
      <c r="D9" s="6" t="s">
        <v>25</v>
      </c>
      <c r="E9" s="6" t="s">
        <v>183</v>
      </c>
      <c r="F9" s="6" t="s">
        <v>23</v>
      </c>
      <c r="G9" s="6" t="s">
        <v>184</v>
      </c>
      <c r="H9" s="6" t="s">
        <v>31</v>
      </c>
      <c r="I9" s="6">
        <v>11.9</v>
      </c>
      <c r="J9" s="6">
        <v>10.7</v>
      </c>
      <c r="K9" s="6">
        <v>2</v>
      </c>
      <c r="L9" s="6">
        <v>2</v>
      </c>
      <c r="M9" s="6">
        <v>2</v>
      </c>
      <c r="N9" s="6" t="s">
        <v>185</v>
      </c>
      <c r="O9" s="6">
        <v>2</v>
      </c>
      <c r="P9" s="6" t="s">
        <v>178</v>
      </c>
      <c r="Q9" s="6">
        <f t="shared" si="0"/>
        <v>8</v>
      </c>
      <c r="R9" s="6">
        <f t="shared" si="1"/>
        <v>8</v>
      </c>
      <c r="S9" s="11">
        <f t="shared" si="2"/>
        <v>1</v>
      </c>
      <c r="T9" s="6" t="str">
        <f>IF(LEFT(P9,7)="Not run","NOT RUN",IF(AND(P9="No",S9&gt;=Rubric!$B$17),"PASS","FAIL"))</f>
        <v>PASS</v>
      </c>
      <c r="U9" s="6" t="s">
        <v>186</v>
      </c>
      <c r="V9" s="8" t="s">
        <v>207</v>
      </c>
      <c r="W9" s="8"/>
    </row>
    <row r="10" spans="1:23" ht="277.05" customHeight="1" x14ac:dyDescent="0.45">
      <c r="A10" s="6" t="s">
        <v>26</v>
      </c>
      <c r="B10" s="6" t="s">
        <v>27</v>
      </c>
      <c r="C10" s="6" t="s">
        <v>28</v>
      </c>
      <c r="D10" s="6" t="s">
        <v>32</v>
      </c>
      <c r="E10" s="6" t="s">
        <v>187</v>
      </c>
      <c r="F10" s="6" t="s">
        <v>30</v>
      </c>
      <c r="G10" s="6" t="s">
        <v>188</v>
      </c>
      <c r="H10" s="6" t="s">
        <v>31</v>
      </c>
      <c r="I10" s="6">
        <v>9.18</v>
      </c>
      <c r="J10" s="6">
        <v>7.7</v>
      </c>
      <c r="K10" s="6">
        <v>2</v>
      </c>
      <c r="L10" s="6" t="s">
        <v>185</v>
      </c>
      <c r="M10" s="6">
        <v>2</v>
      </c>
      <c r="N10" s="6" t="s">
        <v>185</v>
      </c>
      <c r="O10" s="6">
        <v>2</v>
      </c>
      <c r="P10" s="6" t="s">
        <v>178</v>
      </c>
      <c r="Q10" s="6">
        <f t="shared" si="0"/>
        <v>6</v>
      </c>
      <c r="R10" s="6">
        <f t="shared" si="1"/>
        <v>6</v>
      </c>
      <c r="S10" s="11">
        <f t="shared" si="2"/>
        <v>1</v>
      </c>
      <c r="T10" s="6" t="str">
        <f>IF(LEFT(P10,7)="Not run","NOT RUN",IF(AND(P10="No",S10&gt;=Rubric!$B$17),"PASS","FAIL"))</f>
        <v>PASS</v>
      </c>
      <c r="U10" s="6" t="s">
        <v>189</v>
      </c>
      <c r="V10" s="8" t="s">
        <v>207</v>
      </c>
      <c r="W10" s="8"/>
    </row>
    <row r="11" spans="1:23" ht="56" customHeight="1" x14ac:dyDescent="0.45">
      <c r="A11" s="6" t="s">
        <v>33</v>
      </c>
      <c r="B11" s="6" t="s">
        <v>34</v>
      </c>
      <c r="C11" s="6" t="s">
        <v>35</v>
      </c>
      <c r="D11" s="6" t="s">
        <v>37</v>
      </c>
      <c r="E11" s="6" t="s">
        <v>190</v>
      </c>
      <c r="F11" s="6" t="s">
        <v>36</v>
      </c>
      <c r="G11" s="6" t="s">
        <v>31</v>
      </c>
      <c r="H11" s="6" t="s">
        <v>191</v>
      </c>
      <c r="I11" s="6">
        <v>0.15</v>
      </c>
      <c r="J11" s="6">
        <v>0</v>
      </c>
      <c r="K11" s="6">
        <v>2</v>
      </c>
      <c r="L11" s="6" t="s">
        <v>185</v>
      </c>
      <c r="M11" s="6">
        <v>2</v>
      </c>
      <c r="N11" s="6" t="s">
        <v>185</v>
      </c>
      <c r="O11" s="6">
        <v>2</v>
      </c>
      <c r="P11" s="6" t="s">
        <v>178</v>
      </c>
      <c r="Q11" s="6">
        <f t="shared" si="0"/>
        <v>6</v>
      </c>
      <c r="R11" s="6">
        <f t="shared" si="1"/>
        <v>6</v>
      </c>
      <c r="S11" s="11">
        <f t="shared" si="2"/>
        <v>1</v>
      </c>
      <c r="T11" s="6" t="str">
        <f>IF(LEFT(P11,7)="Not run","NOT RUN",IF(AND(P11="No",S11&gt;=Rubric!$B$17),"PASS","FAIL"))</f>
        <v>PASS</v>
      </c>
      <c r="U11" s="6" t="s">
        <v>179</v>
      </c>
      <c r="V11" s="8" t="s">
        <v>207</v>
      </c>
      <c r="W11" s="8"/>
    </row>
    <row r="12" spans="1:23" ht="342" customHeight="1" x14ac:dyDescent="0.45">
      <c r="A12" s="6" t="s">
        <v>38</v>
      </c>
      <c r="B12" s="6" t="s">
        <v>39</v>
      </c>
      <c r="C12" s="6" t="s">
        <v>40</v>
      </c>
      <c r="D12" s="6" t="s">
        <v>43</v>
      </c>
      <c r="E12" s="6" t="s">
        <v>192</v>
      </c>
      <c r="F12" s="6" t="s">
        <v>41</v>
      </c>
      <c r="G12" s="6" t="s">
        <v>193</v>
      </c>
      <c r="H12" s="6" t="s">
        <v>31</v>
      </c>
      <c r="I12" s="6">
        <v>8.86</v>
      </c>
      <c r="J12" s="6">
        <v>6.7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 t="s">
        <v>178</v>
      </c>
      <c r="Q12" s="6">
        <f t="shared" si="0"/>
        <v>10</v>
      </c>
      <c r="R12" s="6">
        <f t="shared" si="1"/>
        <v>10</v>
      </c>
      <c r="S12" s="11">
        <f t="shared" si="2"/>
        <v>1</v>
      </c>
      <c r="T12" s="6" t="str">
        <f>IF(LEFT(P12,7)="Not run","NOT RUN",IF(AND(P12="No",S12&gt;=Rubric!$B$17),"PASS","FAIL"))</f>
        <v>PASS</v>
      </c>
      <c r="U12" s="6" t="s">
        <v>194</v>
      </c>
      <c r="V12" s="8" t="s">
        <v>207</v>
      </c>
      <c r="W12" s="8"/>
    </row>
    <row r="13" spans="1:23" ht="56" customHeight="1" x14ac:dyDescent="0.45">
      <c r="A13" s="6" t="s">
        <v>44</v>
      </c>
      <c r="B13" s="6" t="s">
        <v>45</v>
      </c>
      <c r="C13" s="6" t="s">
        <v>46</v>
      </c>
      <c r="D13" s="6" t="s">
        <v>49</v>
      </c>
      <c r="E13" s="6" t="s">
        <v>195</v>
      </c>
      <c r="F13" s="6" t="s">
        <v>47</v>
      </c>
      <c r="G13" s="6" t="s">
        <v>196</v>
      </c>
      <c r="H13" s="6" t="s">
        <v>31</v>
      </c>
      <c r="I13" s="6">
        <v>7.97</v>
      </c>
      <c r="J13" s="6">
        <v>6.7</v>
      </c>
      <c r="K13" s="6">
        <v>2</v>
      </c>
      <c r="L13" s="6">
        <v>2</v>
      </c>
      <c r="M13" s="6">
        <v>2</v>
      </c>
      <c r="N13" s="6" t="s">
        <v>185</v>
      </c>
      <c r="O13" s="6">
        <v>2</v>
      </c>
      <c r="P13" s="6" t="s">
        <v>178</v>
      </c>
      <c r="Q13" s="6">
        <f t="shared" si="0"/>
        <v>8</v>
      </c>
      <c r="R13" s="6">
        <f t="shared" si="1"/>
        <v>8</v>
      </c>
      <c r="S13" s="11">
        <f t="shared" si="2"/>
        <v>1</v>
      </c>
      <c r="T13" s="6" t="str">
        <f>IF(LEFT(P13,7)="Not run","NOT RUN",IF(AND(P13="No",S13&gt;=Rubric!$B$17),"PASS","FAIL"))</f>
        <v>PASS</v>
      </c>
      <c r="U13" s="6" t="s">
        <v>194</v>
      </c>
      <c r="V13" s="8" t="s">
        <v>207</v>
      </c>
      <c r="W13" s="8"/>
    </row>
    <row r="14" spans="1:23" ht="56" customHeight="1" x14ac:dyDescent="0.45">
      <c r="A14" s="6" t="s">
        <v>50</v>
      </c>
      <c r="B14" s="6" t="s">
        <v>51</v>
      </c>
      <c r="C14" s="6" t="s">
        <v>52</v>
      </c>
      <c r="D14" s="6" t="s">
        <v>56</v>
      </c>
      <c r="E14" s="6" t="s">
        <v>197</v>
      </c>
      <c r="F14" s="6" t="s">
        <v>54</v>
      </c>
      <c r="G14" s="6" t="s">
        <v>198</v>
      </c>
      <c r="H14" s="6" t="s">
        <v>31</v>
      </c>
      <c r="I14" s="6">
        <v>33.130000000000003</v>
      </c>
      <c r="J14" s="6">
        <v>30.9</v>
      </c>
      <c r="K14" s="6" t="s">
        <v>185</v>
      </c>
      <c r="L14" s="6" t="s">
        <v>185</v>
      </c>
      <c r="M14" s="6" t="s">
        <v>185</v>
      </c>
      <c r="N14" s="6" t="s">
        <v>185</v>
      </c>
      <c r="O14" s="6" t="s">
        <v>185</v>
      </c>
      <c r="P14" s="6" t="s">
        <v>199</v>
      </c>
      <c r="Q14" s="6">
        <f t="shared" si="0"/>
        <v>0</v>
      </c>
      <c r="R14" s="6">
        <f t="shared" si="1"/>
        <v>0</v>
      </c>
      <c r="S14" s="11">
        <f t="shared" si="2"/>
        <v>0</v>
      </c>
      <c r="T14" s="6" t="str">
        <f>IF(LEFT(P14,7)="Not run","NOT RUN",IF(AND(P14="No",S14&gt;=Rubric!$B$17),"PASS","FAIL"))</f>
        <v>NOT RUN</v>
      </c>
      <c r="U14" s="6" t="s">
        <v>200</v>
      </c>
      <c r="V14" s="8"/>
      <c r="W14" s="8"/>
    </row>
    <row r="15" spans="1:23" ht="56" customHeight="1" x14ac:dyDescent="0.45">
      <c r="A15" s="6" t="s">
        <v>57</v>
      </c>
      <c r="B15" s="6" t="s">
        <v>58</v>
      </c>
      <c r="C15" s="6" t="s">
        <v>59</v>
      </c>
      <c r="D15" s="6" t="s">
        <v>61</v>
      </c>
      <c r="E15" s="6" t="s">
        <v>197</v>
      </c>
      <c r="F15" s="6" t="s">
        <v>60</v>
      </c>
      <c r="G15" s="6" t="s">
        <v>31</v>
      </c>
      <c r="H15" s="6" t="s">
        <v>31</v>
      </c>
      <c r="I15" s="6">
        <v>0.22</v>
      </c>
      <c r="J15" s="6">
        <v>0</v>
      </c>
      <c r="K15" s="6" t="s">
        <v>185</v>
      </c>
      <c r="L15" s="6" t="s">
        <v>185</v>
      </c>
      <c r="M15" s="6" t="s">
        <v>185</v>
      </c>
      <c r="N15" s="6" t="s">
        <v>185</v>
      </c>
      <c r="O15" s="6" t="s">
        <v>185</v>
      </c>
      <c r="P15" s="6" t="s">
        <v>199</v>
      </c>
      <c r="Q15" s="6">
        <f t="shared" si="0"/>
        <v>0</v>
      </c>
      <c r="R15" s="6">
        <f t="shared" si="1"/>
        <v>0</v>
      </c>
      <c r="S15" s="11">
        <f t="shared" si="2"/>
        <v>0</v>
      </c>
      <c r="T15" s="6" t="str">
        <f>IF(LEFT(P15,7)="Not run","NOT RUN",IF(AND(P15="No",S15&gt;=Rubric!$B$17),"PASS","FAIL"))</f>
        <v>NOT RUN</v>
      </c>
      <c r="U15" s="6" t="s">
        <v>201</v>
      </c>
      <c r="V15" s="8"/>
      <c r="W15" s="8"/>
    </row>
    <row r="16" spans="1:23" ht="56" customHeight="1" x14ac:dyDescent="0.45">
      <c r="A16" s="6" t="s">
        <v>62</v>
      </c>
      <c r="B16" s="6" t="s">
        <v>63</v>
      </c>
      <c r="C16" s="6" t="s">
        <v>64</v>
      </c>
      <c r="D16" s="6" t="s">
        <v>67</v>
      </c>
      <c r="E16" s="6" t="s">
        <v>197</v>
      </c>
      <c r="F16" s="6" t="s">
        <v>66</v>
      </c>
      <c r="G16" s="6" t="s">
        <v>31</v>
      </c>
      <c r="H16" s="6" t="s">
        <v>31</v>
      </c>
      <c r="I16" s="6">
        <v>0.23</v>
      </c>
      <c r="J16" s="6">
        <v>0</v>
      </c>
      <c r="K16" s="6" t="s">
        <v>185</v>
      </c>
      <c r="L16" s="6" t="s">
        <v>185</v>
      </c>
      <c r="M16" s="6" t="s">
        <v>185</v>
      </c>
      <c r="N16" s="6" t="s">
        <v>185</v>
      </c>
      <c r="O16" s="6" t="s">
        <v>185</v>
      </c>
      <c r="P16" s="6" t="s">
        <v>199</v>
      </c>
      <c r="Q16" s="6">
        <f t="shared" si="0"/>
        <v>0</v>
      </c>
      <c r="R16" s="6">
        <f t="shared" si="1"/>
        <v>0</v>
      </c>
      <c r="S16" s="11">
        <f t="shared" si="2"/>
        <v>0</v>
      </c>
      <c r="T16" s="6" t="str">
        <f>IF(LEFT(P16,7)="Not run","NOT RUN",IF(AND(P16="No",S16&gt;=Rubric!$B$17),"PASS","FAIL"))</f>
        <v>NOT RUN</v>
      </c>
      <c r="U16" s="6" t="s">
        <v>202</v>
      </c>
      <c r="V16" s="8"/>
      <c r="W16" s="8"/>
    </row>
    <row r="17" spans="1:23" ht="56" customHeight="1" x14ac:dyDescent="0.45">
      <c r="A17" s="6" t="s">
        <v>68</v>
      </c>
      <c r="B17" s="6" t="s">
        <v>69</v>
      </c>
      <c r="C17" s="6" t="s">
        <v>70</v>
      </c>
      <c r="D17" s="6" t="s">
        <v>74</v>
      </c>
      <c r="E17" s="6" t="s">
        <v>197</v>
      </c>
      <c r="F17" s="6" t="s">
        <v>72</v>
      </c>
      <c r="G17" s="6" t="s">
        <v>31</v>
      </c>
      <c r="H17" s="6" t="s">
        <v>31</v>
      </c>
      <c r="I17" s="6">
        <v>0.21</v>
      </c>
      <c r="J17" s="6">
        <v>0</v>
      </c>
      <c r="K17" s="6" t="s">
        <v>185</v>
      </c>
      <c r="L17" s="6" t="s">
        <v>185</v>
      </c>
      <c r="M17" s="6" t="s">
        <v>185</v>
      </c>
      <c r="N17" s="6" t="s">
        <v>185</v>
      </c>
      <c r="O17" s="6" t="s">
        <v>185</v>
      </c>
      <c r="P17" s="6" t="s">
        <v>199</v>
      </c>
      <c r="Q17" s="6">
        <f t="shared" si="0"/>
        <v>0</v>
      </c>
      <c r="R17" s="6">
        <f t="shared" si="1"/>
        <v>0</v>
      </c>
      <c r="S17" s="11">
        <f t="shared" si="2"/>
        <v>0</v>
      </c>
      <c r="T17" s="6" t="str">
        <f>IF(LEFT(P17,7)="Not run","NOT RUN",IF(AND(P17="No",S17&gt;=Rubric!$B$17),"PASS","FAIL"))</f>
        <v>NOT RUN</v>
      </c>
      <c r="U17" s="6" t="s">
        <v>203</v>
      </c>
      <c r="V17" s="8"/>
      <c r="W17" s="8"/>
    </row>
    <row r="18" spans="1:23" ht="56" customHeight="1" x14ac:dyDescent="0.45">
      <c r="A18" s="6" t="s">
        <v>75</v>
      </c>
      <c r="B18" s="6" t="s">
        <v>76</v>
      </c>
      <c r="C18" s="6" t="s">
        <v>77</v>
      </c>
      <c r="D18" s="6" t="s">
        <v>81</v>
      </c>
      <c r="E18" s="6" t="s">
        <v>197</v>
      </c>
      <c r="F18" s="6" t="s">
        <v>79</v>
      </c>
      <c r="G18" s="6" t="s">
        <v>31</v>
      </c>
      <c r="H18" s="6" t="s">
        <v>31</v>
      </c>
      <c r="I18" s="6">
        <v>0.2</v>
      </c>
      <c r="J18" s="6">
        <v>0</v>
      </c>
      <c r="K18" s="6" t="s">
        <v>185</v>
      </c>
      <c r="L18" s="6" t="s">
        <v>185</v>
      </c>
      <c r="M18" s="6" t="s">
        <v>185</v>
      </c>
      <c r="N18" s="6" t="s">
        <v>185</v>
      </c>
      <c r="O18" s="6" t="s">
        <v>185</v>
      </c>
      <c r="P18" s="6" t="s">
        <v>199</v>
      </c>
      <c r="Q18" s="6">
        <f t="shared" si="0"/>
        <v>0</v>
      </c>
      <c r="R18" s="6">
        <f t="shared" si="1"/>
        <v>0</v>
      </c>
      <c r="S18" s="11">
        <f t="shared" si="2"/>
        <v>0</v>
      </c>
      <c r="T18" s="6" t="str">
        <f>IF(LEFT(P18,7)="Not run","NOT RUN",IF(AND(P18="No",S18&gt;=Rubric!$B$17),"PASS","FAIL"))</f>
        <v>NOT RUN</v>
      </c>
      <c r="U18" s="6" t="s">
        <v>204</v>
      </c>
      <c r="V18" s="8"/>
      <c r="W18" s="8"/>
    </row>
    <row r="19" spans="1:23" ht="56" customHeight="1" x14ac:dyDescent="0.45">
      <c r="A19" s="6" t="s">
        <v>82</v>
      </c>
      <c r="B19" s="6" t="s">
        <v>83</v>
      </c>
      <c r="C19" s="6" t="s">
        <v>84</v>
      </c>
      <c r="D19" s="6" t="s">
        <v>86</v>
      </c>
      <c r="E19" s="6" t="s">
        <v>197</v>
      </c>
      <c r="F19" s="6" t="s">
        <v>66</v>
      </c>
      <c r="G19" s="6" t="s">
        <v>31</v>
      </c>
      <c r="H19" s="6" t="s">
        <v>31</v>
      </c>
      <c r="I19" s="6">
        <v>30.34</v>
      </c>
      <c r="J19" s="6">
        <v>29.8</v>
      </c>
      <c r="K19" s="6" t="s">
        <v>185</v>
      </c>
      <c r="L19" s="6" t="s">
        <v>185</v>
      </c>
      <c r="M19" s="6" t="s">
        <v>185</v>
      </c>
      <c r="N19" s="6" t="s">
        <v>185</v>
      </c>
      <c r="O19" s="6" t="s">
        <v>185</v>
      </c>
      <c r="P19" s="6" t="s">
        <v>199</v>
      </c>
      <c r="Q19" s="6">
        <f t="shared" si="0"/>
        <v>0</v>
      </c>
      <c r="R19" s="6">
        <f t="shared" si="1"/>
        <v>0</v>
      </c>
      <c r="S19" s="11">
        <f t="shared" si="2"/>
        <v>0</v>
      </c>
      <c r="T19" s="6" t="str">
        <f>IF(LEFT(P19,7)="Not run","NOT RUN",IF(AND(P19="No",S19&gt;=Rubric!$B$17),"PASS","FAIL"))</f>
        <v>NOT RUN</v>
      </c>
      <c r="U19" s="6" t="s">
        <v>205</v>
      </c>
      <c r="V19" s="8"/>
      <c r="W19" s="8"/>
    </row>
    <row r="20" spans="1:23" ht="56" customHeight="1" x14ac:dyDescent="0.45">
      <c r="A20" s="6" t="s">
        <v>87</v>
      </c>
      <c r="B20" s="6" t="s">
        <v>88</v>
      </c>
      <c r="C20" s="6" t="s">
        <v>9</v>
      </c>
      <c r="D20" s="6" t="s">
        <v>90</v>
      </c>
      <c r="E20" s="6" t="s">
        <v>197</v>
      </c>
      <c r="F20" s="6" t="s">
        <v>72</v>
      </c>
      <c r="G20" s="6" t="s">
        <v>31</v>
      </c>
      <c r="H20" s="6" t="s">
        <v>31</v>
      </c>
      <c r="I20" s="6">
        <v>20.58</v>
      </c>
      <c r="J20" s="6">
        <v>19.899999999999999</v>
      </c>
      <c r="K20" s="6" t="s">
        <v>185</v>
      </c>
      <c r="L20" s="6" t="s">
        <v>185</v>
      </c>
      <c r="M20" s="6" t="s">
        <v>185</v>
      </c>
      <c r="N20" s="6" t="s">
        <v>185</v>
      </c>
      <c r="O20" s="6" t="s">
        <v>185</v>
      </c>
      <c r="P20" s="6" t="s">
        <v>199</v>
      </c>
      <c r="Q20" s="6">
        <f t="shared" si="0"/>
        <v>0</v>
      </c>
      <c r="R20" s="6">
        <f t="shared" si="1"/>
        <v>0</v>
      </c>
      <c r="S20" s="11">
        <f t="shared" si="2"/>
        <v>0</v>
      </c>
      <c r="T20" s="6" t="str">
        <f>IF(LEFT(P20,7)="Not run","NOT RUN",IF(AND(P20="No",S20&gt;=Rubric!$B$17),"PASS","FAIL"))</f>
        <v>NOT RUN</v>
      </c>
      <c r="U20" s="6" t="s">
        <v>206</v>
      </c>
      <c r="V20" s="8"/>
      <c r="W20" s="8"/>
    </row>
  </sheetData>
  <autoFilter ref="A6:W20" xr:uid="{00000000-0009-0000-0000-000002000000}"/>
  <mergeCells count="5">
    <mergeCell ref="A4:B4"/>
    <mergeCell ref="A2:B2"/>
    <mergeCell ref="E2:J3"/>
    <mergeCell ref="A5:B5"/>
    <mergeCell ref="A3:B3"/>
  </mergeCells>
  <conditionalFormatting sqref="P7:P20">
    <cfRule type="cellIs" dxfId="5" priority="5" operator="notEqual">
      <formula>"No"</formula>
    </cfRule>
  </conditionalFormatting>
  <conditionalFormatting sqref="T7:T20">
    <cfRule type="cellIs" dxfId="4" priority="1" operator="equal">
      <formula>"PASS"</formula>
    </cfRule>
    <cfRule type="cellIs" dxfId="3" priority="2" operator="equal">
      <formula>"FAIL"</formula>
    </cfRule>
    <cfRule type="cellIs" dxfId="2" priority="6" operator="equal">
      <formula>"NOT RUN"</formula>
    </cfRule>
  </conditionalFormatting>
  <conditionalFormatting sqref="V7:V20">
    <cfRule type="cellIs" dxfId="1" priority="3" operator="equal">
      <formula>"PASS"</formula>
    </cfRule>
    <cfRule type="cellIs" dxfId="0" priority="4" operator="equal">
      <formula>"FAIL"</formula>
    </cfRule>
  </conditionalFormatting>
  <dataValidations count="2">
    <dataValidation type="list" allowBlank="1" sqref="K7:O20" xr:uid="{00000000-0002-0000-0200-000000000000}">
      <formula1>"0,1,2,N/A"</formula1>
    </dataValidation>
    <dataValidation type="list" allowBlank="1" sqref="V7:V20" xr:uid="{00000000-0002-0000-0200-000001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 Set</vt:lpstr>
      <vt:lpstr>Rubric</vt:lpstr>
      <vt:lpstr>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Alka Bansal</cp:lastModifiedBy>
  <dcterms:created xsi:type="dcterms:W3CDTF">2026-09-15T10:39:40Z</dcterms:created>
  <dcterms:modified xsi:type="dcterms:W3CDTF">2026-09-17T07:39:57Z</dcterms:modified>
</cp:coreProperties>
</file>